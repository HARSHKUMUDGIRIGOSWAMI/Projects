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sh\Desktop\"/>
    </mc:Choice>
  </mc:AlternateContent>
  <xr:revisionPtr revIDLastSave="0" documentId="8_{CDF655A0-6000-424C-A2F8-ED499EB3533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udget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2" l="1"/>
  <c r="H10" i="2"/>
  <c r="I10" i="2"/>
  <c r="J10" i="2"/>
  <c r="K10" i="2"/>
  <c r="B10" i="2"/>
  <c r="D9" i="2"/>
  <c r="E9" i="2" s="1"/>
  <c r="F9" i="2" s="1"/>
  <c r="G9" i="2" s="1"/>
  <c r="H9" i="2" s="1"/>
  <c r="I9" i="2" s="1"/>
  <c r="J9" i="2" s="1"/>
  <c r="K9" i="2" s="1"/>
  <c r="L9" i="2" s="1"/>
  <c r="M9" i="2" s="1"/>
  <c r="M8" i="2"/>
  <c r="L8" i="2"/>
  <c r="K8" i="2"/>
  <c r="J8" i="2"/>
  <c r="I8" i="2"/>
  <c r="H8" i="2"/>
  <c r="G8" i="2"/>
  <c r="F8" i="2"/>
  <c r="E8" i="2"/>
  <c r="D8" i="2"/>
  <c r="D7" i="2"/>
  <c r="D11" i="2"/>
  <c r="D6" i="2"/>
  <c r="E6" i="2" s="1"/>
  <c r="F6" i="2" s="1"/>
  <c r="G6" i="2" s="1"/>
  <c r="H6" i="2" s="1"/>
  <c r="I6" i="2" s="1"/>
  <c r="J6" i="2" s="1"/>
  <c r="K6" i="2" s="1"/>
  <c r="L6" i="2" s="1"/>
  <c r="M6" i="2" s="1"/>
  <c r="M10" i="2" s="1"/>
  <c r="E11" i="2" l="1"/>
  <c r="F11" i="2" s="1"/>
  <c r="G11" i="2" s="1"/>
  <c r="H11" i="2" s="1"/>
  <c r="I11" i="2" s="1"/>
  <c r="J11" i="2" s="1"/>
  <c r="K11" i="2" s="1"/>
  <c r="L11" i="2" s="1"/>
  <c r="M11" i="2" s="1"/>
  <c r="F10" i="2"/>
  <c r="E10" i="2"/>
  <c r="D10" i="2"/>
  <c r="L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  <author>User</author>
  </authors>
  <commentList>
    <comment ref="E6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Administrator:</t>
        </r>
        <r>
          <rPr>
            <sz val="9"/>
            <color indexed="81"/>
            <rFont val="Tahoma"/>
            <charset val="1"/>
          </rPr>
          <t xml:space="preserve">
don't put a number here, use a formula.  Take the amount from column D and add an additional percentage that is your raise.</t>
        </r>
      </text>
    </comment>
    <comment ref="A7" authorId="1" shapeId="0" xr:uid="{00000000-0006-0000-0000-00000200000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here's and example of Ontario tax calculator, https://simpletax.ca/calculator You should learn the difference between average tax rate and marginal tax rate.</t>
        </r>
      </text>
    </comment>
    <comment ref="A8" authorId="1" shapeId="0" xr:uid="{00000000-0006-0000-0000-00000300000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amortize the loan over 10 years
</t>
        </r>
      </text>
    </comment>
    <comment ref="B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If you don't have a loan, make one up.  Pick a number between $1000 and $20000.</t>
        </r>
      </text>
    </comment>
    <comment ref="A10" authorId="1" shapeId="0" xr:uid="{00000000-0006-0000-0000-00000500000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you pick how much.
</t>
        </r>
      </text>
    </comment>
    <comment ref="D11" authorId="1" shapeId="0" xr:uid="{00000000-0006-0000-0000-00000600000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in the first year, it's just the contribution amount
</t>
        </r>
      </text>
    </comment>
    <comment ref="E11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year 2 will be year 1 contributions, year 1 income, and year 2 contributions</t>
        </r>
      </text>
    </comment>
  </commentList>
</comments>
</file>

<file path=xl/sharedStrings.xml><?xml version="1.0" encoding="utf-8"?>
<sst xmlns="http://schemas.openxmlformats.org/spreadsheetml/2006/main" count="26" uniqueCount="26">
  <si>
    <t>Year</t>
  </si>
  <si>
    <t>Now</t>
  </si>
  <si>
    <t>Salary</t>
  </si>
  <si>
    <t>Income Tax</t>
  </si>
  <si>
    <t>Student loan payment</t>
  </si>
  <si>
    <t>Assumptions</t>
  </si>
  <si>
    <t>Student Loan amount</t>
  </si>
  <si>
    <t>Student Loan repayment</t>
  </si>
  <si>
    <t>https://osap.gov.on.ca/AidEstimator1718Web/enterapp/debt_calculator.xhtml#quesArea</t>
  </si>
  <si>
    <t>from</t>
  </si>
  <si>
    <t>https://www.ontario.ca/page/osap-ontario-student-assistance-program</t>
  </si>
  <si>
    <t>assume no inflation</t>
  </si>
  <si>
    <t>assume you receive 2% APR raise in salary</t>
  </si>
  <si>
    <t>assume you contribute to an RRSP</t>
  </si>
  <si>
    <t>assume your RRSP investment increases in value</t>
  </si>
  <si>
    <t>find an average software salary that you might expect.  List the link here</t>
  </si>
  <si>
    <t>include this increase in your budget, so year 2 will be year 1 contributions, year 1 income, and year 2 contributions</t>
  </si>
  <si>
    <t>assume you live and work in Ontario</t>
  </si>
  <si>
    <t>RRSP total value</t>
  </si>
  <si>
    <t xml:space="preserve">RRSP contribution </t>
  </si>
  <si>
    <t>you decide how much you will contribute per year, there is a maximum amount</t>
  </si>
  <si>
    <t>Your assignment is to put numbers and formulas in the green cells below.  Try to use formulas in columns E, F etc…</t>
  </si>
  <si>
    <t>Student loan balance</t>
  </si>
  <si>
    <t>https://ca.indeed.com/career/software-engineer/salaries/Ontario</t>
  </si>
  <si>
    <t>https://ca.talent.com/tax-calculator?salary=83676&amp;from=year&amp;region=Ontario</t>
  </si>
  <si>
    <t>tax calculator used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</si>
</sst>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2" xfId="0" applyBorder="1"/>
    <xf numFmtId="0" fontId="3" fillId="0" borderId="0" xfId="0" applyFont="1"/>
    <xf numFmtId="0" fontId="0" fillId="0" borderId="0" xfId="0" applyFont="1"/>
    <xf numFmtId="166" fontId="0" fillId="0" borderId="0" xfId="0" applyNumberFormat="1"/>
    <xf numFmtId="44" fontId="0" fillId="0" borderId="0" xfId="0" applyNumberFormat="1"/>
    <xf numFmtId="166" fontId="0" fillId="2" borderId="0" xfId="0" applyNumberFormat="1" applyFill="1"/>
    <xf numFmtId="4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2</xdr:row>
          <xdr:rowOff>22860</xdr:rowOff>
        </xdr:from>
        <xdr:to>
          <xdr:col>0</xdr:col>
          <xdr:colOff>2514600</xdr:colOff>
          <xdr:row>4</xdr:row>
          <xdr:rowOff>160020</xdr:rowOff>
        </xdr:to>
        <xdr:sp macro="" textlink="">
          <xdr:nvSpPr>
            <xdr:cNvPr id="2054" name="CommandButton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0"/>
  <sheetViews>
    <sheetView tabSelected="1" zoomScale="115" zoomScaleNormal="115" workbookViewId="0">
      <selection activeCell="A2" sqref="A2"/>
    </sheetView>
  </sheetViews>
  <sheetFormatPr defaultRowHeight="14.4" x14ac:dyDescent="0.3"/>
  <cols>
    <col min="1" max="1" width="38" customWidth="1"/>
    <col min="2" max="2" width="11.5546875" bestFit="1" customWidth="1"/>
    <col min="4" max="9" width="11.5546875" bestFit="1" customWidth="1"/>
    <col min="10" max="13" width="12.5546875" bestFit="1" customWidth="1"/>
  </cols>
  <sheetData>
    <row r="1" spans="1:13" x14ac:dyDescent="0.3">
      <c r="A1" s="4">
        <v>894310</v>
      </c>
    </row>
    <row r="2" spans="1:13" x14ac:dyDescent="0.3">
      <c r="D2" t="s">
        <v>21</v>
      </c>
    </row>
    <row r="3" spans="1:13" x14ac:dyDescent="0.3">
      <c r="A3" s="3">
        <v>8.9431000089430994E+23</v>
      </c>
    </row>
    <row r="4" spans="1:13" x14ac:dyDescent="0.3">
      <c r="B4" t="s">
        <v>1</v>
      </c>
      <c r="D4" t="s">
        <v>0</v>
      </c>
    </row>
    <row r="5" spans="1:13" ht="15" thickBot="1" x14ac:dyDescent="0.35">
      <c r="D5" s="1">
        <v>1</v>
      </c>
      <c r="E5" s="1">
        <v>2</v>
      </c>
      <c r="F5" s="1">
        <v>3</v>
      </c>
      <c r="G5" s="1">
        <v>4</v>
      </c>
      <c r="H5" s="1">
        <v>5</v>
      </c>
      <c r="I5" s="1">
        <v>6</v>
      </c>
      <c r="J5" s="1">
        <v>7</v>
      </c>
      <c r="K5" s="1">
        <v>8</v>
      </c>
      <c r="L5" s="1">
        <v>9</v>
      </c>
      <c r="M5" s="1">
        <v>10</v>
      </c>
    </row>
    <row r="6" spans="1:13" x14ac:dyDescent="0.3">
      <c r="A6" t="s">
        <v>2</v>
      </c>
      <c r="B6" s="5">
        <v>83676</v>
      </c>
      <c r="D6" s="7">
        <f>B6</f>
        <v>83676</v>
      </c>
      <c r="E6" s="7">
        <f>(D6+(D6*0.02))</f>
        <v>85349.52</v>
      </c>
      <c r="F6" s="7">
        <f t="shared" ref="F6:M6" si="0">(E6+(E6*0.02))</f>
        <v>87056.510399999999</v>
      </c>
      <c r="G6" s="7">
        <f t="shared" si="0"/>
        <v>88797.640608000002</v>
      </c>
      <c r="H6" s="7">
        <f t="shared" si="0"/>
        <v>90573.593420160003</v>
      </c>
      <c r="I6" s="7">
        <f t="shared" si="0"/>
        <v>92385.065288563201</v>
      </c>
      <c r="J6" s="7">
        <f t="shared" si="0"/>
        <v>94232.766594334462</v>
      </c>
      <c r="K6" s="7">
        <f t="shared" si="0"/>
        <v>96117.421926221155</v>
      </c>
      <c r="L6" s="7">
        <f t="shared" si="0"/>
        <v>98039.770364745578</v>
      </c>
      <c r="M6" s="7">
        <f t="shared" si="0"/>
        <v>100000.56577204049</v>
      </c>
    </row>
    <row r="7" spans="1:13" x14ac:dyDescent="0.3">
      <c r="A7" t="s">
        <v>3</v>
      </c>
      <c r="B7" s="6">
        <v>24380</v>
      </c>
      <c r="D7" s="8">
        <f>B7</f>
        <v>24380</v>
      </c>
      <c r="E7" s="8">
        <v>24907</v>
      </c>
      <c r="F7" s="8">
        <v>25444</v>
      </c>
      <c r="G7" s="8">
        <v>25992</v>
      </c>
      <c r="H7" s="8">
        <v>26568</v>
      </c>
      <c r="I7" s="8">
        <v>27191</v>
      </c>
      <c r="J7" s="8">
        <v>27826</v>
      </c>
      <c r="K7" s="8">
        <v>28514</v>
      </c>
      <c r="L7" s="8">
        <v>29243</v>
      </c>
      <c r="M7" s="8">
        <v>29986</v>
      </c>
    </row>
    <row r="8" spans="1:13" x14ac:dyDescent="0.3">
      <c r="A8" t="s">
        <v>4</v>
      </c>
      <c r="B8" s="6">
        <v>20000</v>
      </c>
      <c r="D8" s="8">
        <f>(B8*0.1)</f>
        <v>2000</v>
      </c>
      <c r="E8" s="8">
        <f>(B8*0.1)</f>
        <v>2000</v>
      </c>
      <c r="F8" s="8">
        <f>(B8*0.1)</f>
        <v>2000</v>
      </c>
      <c r="G8" s="8">
        <f>(B8*0.1)</f>
        <v>2000</v>
      </c>
      <c r="H8" s="8">
        <f>(B8*0.1)</f>
        <v>2000</v>
      </c>
      <c r="I8" s="8">
        <f>(B8*0.1)</f>
        <v>2000</v>
      </c>
      <c r="J8" s="8">
        <f>(B8*0.1)</f>
        <v>2000</v>
      </c>
      <c r="K8" s="8">
        <f>(B8*0.1)</f>
        <v>2000</v>
      </c>
      <c r="L8" s="8">
        <f>(B8*0.1)</f>
        <v>2000</v>
      </c>
      <c r="M8" s="8">
        <f>(B8*0.1)</f>
        <v>2000</v>
      </c>
    </row>
    <row r="9" spans="1:13" x14ac:dyDescent="0.3">
      <c r="A9" t="s">
        <v>22</v>
      </c>
      <c r="B9" s="6">
        <v>20000</v>
      </c>
      <c r="D9" s="8">
        <f>(B9-D8)</f>
        <v>18000</v>
      </c>
      <c r="E9" s="8">
        <f>(D9-E8)</f>
        <v>16000</v>
      </c>
      <c r="F9" s="8">
        <f>(E9-F8)</f>
        <v>14000</v>
      </c>
      <c r="G9" s="8">
        <f>(F9-G8)</f>
        <v>12000</v>
      </c>
      <c r="H9" s="8">
        <f>(G9-H8)</f>
        <v>10000</v>
      </c>
      <c r="I9" s="8">
        <f>(H9-I8)</f>
        <v>8000</v>
      </c>
      <c r="J9" s="8">
        <f>(I9-J8)</f>
        <v>6000</v>
      </c>
      <c r="K9" s="8">
        <f>(J9-K8)</f>
        <v>4000</v>
      </c>
      <c r="L9" s="8">
        <f>(K9-L8)</f>
        <v>2000</v>
      </c>
      <c r="M9" s="8">
        <f>(L9-M8)</f>
        <v>0</v>
      </c>
    </row>
    <row r="10" spans="1:13" x14ac:dyDescent="0.3">
      <c r="A10" t="s">
        <v>19</v>
      </c>
      <c r="B10" s="6">
        <f>(B6*0.18)</f>
        <v>15061.68</v>
      </c>
      <c r="D10" s="8">
        <f>(D6*0.18)</f>
        <v>15061.68</v>
      </c>
      <c r="E10" s="8">
        <f t="shared" ref="E10:M10" si="1">(E6*0.18)</f>
        <v>15362.9136</v>
      </c>
      <c r="F10" s="8">
        <f t="shared" si="1"/>
        <v>15670.171871999999</v>
      </c>
      <c r="G10" s="8">
        <f t="shared" si="1"/>
        <v>15983.575309439999</v>
      </c>
      <c r="H10" s="8">
        <f t="shared" si="1"/>
        <v>16303.2468156288</v>
      </c>
      <c r="I10" s="8">
        <f t="shared" si="1"/>
        <v>16629.311751941375</v>
      </c>
      <c r="J10" s="8">
        <f t="shared" si="1"/>
        <v>16961.897986980202</v>
      </c>
      <c r="K10" s="8">
        <f t="shared" si="1"/>
        <v>17301.135946719809</v>
      </c>
      <c r="L10" s="8">
        <f t="shared" si="1"/>
        <v>17647.158665654202</v>
      </c>
      <c r="M10" s="8">
        <f t="shared" si="1"/>
        <v>18000.101838967286</v>
      </c>
    </row>
    <row r="11" spans="1:13" x14ac:dyDescent="0.3">
      <c r="A11" t="s">
        <v>18</v>
      </c>
      <c r="D11" s="8">
        <f>B10</f>
        <v>15061.68</v>
      </c>
      <c r="E11" s="8">
        <f>(D11+E10)</f>
        <v>30424.5936</v>
      </c>
      <c r="F11" s="8">
        <f t="shared" ref="F11:M11" si="2">(E11+F10)</f>
        <v>46094.765471999999</v>
      </c>
      <c r="G11" s="8">
        <f t="shared" si="2"/>
        <v>62078.340781439998</v>
      </c>
      <c r="H11" s="8">
        <f t="shared" si="2"/>
        <v>78381.587597068792</v>
      </c>
      <c r="I11" s="8">
        <f t="shared" si="2"/>
        <v>95010.899349010171</v>
      </c>
      <c r="J11" s="8">
        <f t="shared" si="2"/>
        <v>111972.79733599037</v>
      </c>
      <c r="K11" s="8">
        <f t="shared" si="2"/>
        <v>129273.93328271018</v>
      </c>
      <c r="L11" s="8">
        <f t="shared" si="2"/>
        <v>146921.09194836437</v>
      </c>
      <c r="M11" s="8">
        <f t="shared" si="2"/>
        <v>164921.19378733166</v>
      </c>
    </row>
    <row r="20" spans="1:10" ht="15" thickBot="1" x14ac:dyDescent="0.35">
      <c r="A20" s="1" t="s">
        <v>5</v>
      </c>
      <c r="B20" s="1"/>
      <c r="C20" s="1"/>
      <c r="D20" s="1" t="s">
        <v>9</v>
      </c>
      <c r="E20" s="1"/>
      <c r="F20" s="1"/>
      <c r="G20" s="1"/>
      <c r="H20" s="1"/>
      <c r="I20" s="1"/>
      <c r="J20" s="1"/>
    </row>
    <row r="21" spans="1:10" x14ac:dyDescent="0.3">
      <c r="A21" t="s">
        <v>6</v>
      </c>
      <c r="D21" t="s">
        <v>10</v>
      </c>
    </row>
    <row r="22" spans="1:10" x14ac:dyDescent="0.3">
      <c r="A22" t="s">
        <v>7</v>
      </c>
      <c r="D22" t="s">
        <v>8</v>
      </c>
    </row>
    <row r="23" spans="1:10" x14ac:dyDescent="0.3">
      <c r="A23" t="s">
        <v>17</v>
      </c>
      <c r="B23" t="s">
        <v>25</v>
      </c>
      <c r="D23" t="s">
        <v>24</v>
      </c>
    </row>
    <row r="24" spans="1:10" x14ac:dyDescent="0.3">
      <c r="A24" t="s">
        <v>11</v>
      </c>
    </row>
    <row r="25" spans="1:10" x14ac:dyDescent="0.3">
      <c r="A25" t="s">
        <v>12</v>
      </c>
    </row>
    <row r="26" spans="1:10" x14ac:dyDescent="0.3">
      <c r="A26" t="s">
        <v>13</v>
      </c>
      <c r="D26" t="s">
        <v>20</v>
      </c>
    </row>
    <row r="27" spans="1:10" x14ac:dyDescent="0.3">
      <c r="A27" t="s">
        <v>14</v>
      </c>
      <c r="D27" t="s">
        <v>16</v>
      </c>
    </row>
    <row r="29" spans="1:10" ht="15" thickBot="1" x14ac:dyDescent="0.35">
      <c r="A29" t="s">
        <v>15</v>
      </c>
    </row>
    <row r="30" spans="1:10" ht="15" thickBot="1" x14ac:dyDescent="0.35">
      <c r="A30" s="2" t="s">
        <v>23</v>
      </c>
    </row>
  </sheetData>
  <pageMargins left="0.7" right="0.7" top="0.75" bottom="0.75" header="0.3" footer="0.3"/>
  <pageSetup orientation="portrait" r:id="rId1"/>
  <ignoredErrors>
    <ignoredError sqref="E8" formula="1"/>
  </ignoredErrors>
  <drawing r:id="rId2"/>
  <legacyDrawing r:id="rId3"/>
  <controls>
    <mc:AlternateContent xmlns:mc="http://schemas.openxmlformats.org/markup-compatibility/2006">
      <mc:Choice Requires="x14">
        <control shapeId="2054" r:id="rId4" name="CommandButton1">
          <controlPr defaultSize="0" autoLine="0" r:id="rId5">
            <anchor moveWithCells="1">
              <from>
                <xdr:col>0</xdr:col>
                <xdr:colOff>22860</xdr:colOff>
                <xdr:row>2</xdr:row>
                <xdr:rowOff>22860</xdr:rowOff>
              </from>
              <to>
                <xdr:col>0</xdr:col>
                <xdr:colOff>2514600</xdr:colOff>
                <xdr:row>4</xdr:row>
                <xdr:rowOff>182880</xdr:rowOff>
              </to>
            </anchor>
          </controlPr>
        </control>
      </mc:Choice>
      <mc:Fallback>
        <control shapeId="205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</vt:lpstr>
    </vt:vector>
  </TitlesOfParts>
  <Company>Mohawk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Budget Assignment</dc:title>
  <dc:subject>Personal Finance budget</dc:subject>
  <dc:creator>000894310</dc:creator>
  <cp:keywords>personal finance budget</cp:keywords>
  <dc:description>2017 Nov created</dc:description>
  <cp:lastModifiedBy>Goswami, Harsh Kumudgiri [Student]</cp:lastModifiedBy>
  <dcterms:created xsi:type="dcterms:W3CDTF">2010-10-04T13:37:42Z</dcterms:created>
  <dcterms:modified xsi:type="dcterms:W3CDTF">2024-04-14T18:26:12Z</dcterms:modified>
</cp:coreProperties>
</file>